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BRUPA\Downloads\"/>
    </mc:Choice>
  </mc:AlternateContent>
  <xr:revisionPtr revIDLastSave="0" documentId="13_ncr:1_{5705AEC7-07AB-4DD6-825C-478B323A80C2}" xr6:coauthVersionLast="47" xr6:coauthVersionMax="47" xr10:uidLastSave="{00000000-0000-0000-0000-000000000000}"/>
  <bookViews>
    <workbookView xWindow="-108" yWindow="-108" windowWidth="23256" windowHeight="12456" activeTab="3" xr2:uid="{D160B028-F53C-4DF7-8DE8-378482646029}"/>
  </bookViews>
  <sheets>
    <sheet name="Product Backlog" sheetId="1" r:id="rId1"/>
    <sheet name="Sprint Backlogs" sheetId="2" r:id="rId2"/>
    <sheet name="Stand up Meeting" sheetId="3" r:id="rId3"/>
    <sheet name="Retrospection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" i="2" l="1"/>
  <c r="V2" i="2"/>
  <c r="U2" i="2"/>
  <c r="T2" i="2"/>
  <c r="S2" i="2"/>
  <c r="R2" i="2"/>
  <c r="Q2" i="2"/>
  <c r="P2" i="2"/>
  <c r="O2" i="2"/>
  <c r="N2" i="2"/>
  <c r="M2" i="2"/>
  <c r="L2" i="2"/>
  <c r="K2" i="2"/>
  <c r="J2" i="2"/>
  <c r="I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Sumeet Kumar Barua08</author>
  </authors>
  <commentList>
    <comment ref="F1" authorId="0" shapeId="0" xr:uid="{4DC28906-175C-4B28-A979-C49F4408672D}">
      <text>
        <r>
          <rPr>
            <sz val="9"/>
            <color indexed="81"/>
            <rFont val="Tahoma"/>
            <family val="2"/>
          </rPr>
          <t xml:space="preserve">Mention the US ID(s) on which the user story depends.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Sumeet Kumar Barua08</author>
  </authors>
  <commentList>
    <comment ref="D1" authorId="0" shapeId="0" xr:uid="{47328F04-9453-443E-8F59-67150C53E414}">
      <text>
        <r>
          <rPr>
            <sz val="9"/>
            <color indexed="81"/>
            <rFont val="Tahoma"/>
            <family val="2"/>
          </rPr>
          <t>Please enter the dates in either of these formats: 
9/15/2016  or
15-Sep-2016</t>
        </r>
      </text>
    </comment>
    <comment ref="E1" authorId="0" shapeId="0" xr:uid="{234EACAD-90D7-4627-979C-7AE76109FB5E}">
      <text>
        <r>
          <rPr>
            <sz val="9"/>
            <color indexed="81"/>
            <rFont val="Tahoma"/>
            <family val="2"/>
          </rPr>
          <t xml:space="preserve">Please enter the dates in either of these formats: 
9/15/2016  or
15-Sep-2016
</t>
        </r>
      </text>
    </comment>
    <comment ref="I2" authorId="0" shapeId="0" xr:uid="{030E345D-A4E0-43AB-99F9-64F6F83D2AA2}">
      <text>
        <r>
          <rPr>
            <sz val="9"/>
            <color indexed="81"/>
            <rFont val="Tahoma"/>
            <family val="2"/>
          </rPr>
          <t xml:space="preserve">This is the total task estimated in hours for all the user stories </t>
        </r>
      </text>
    </comment>
    <comment ref="J2" authorId="0" shapeId="0" xr:uid="{A651A5C4-E5E1-4BC5-A73C-CD12FF5B91CA}">
      <text>
        <r>
          <rPr>
            <sz val="9"/>
            <color indexed="81"/>
            <rFont val="Tahoma"/>
            <family val="2"/>
          </rPr>
          <t xml:space="preserve">Pending effort hours after completion of day 1 work
</t>
        </r>
      </text>
    </comment>
    <comment ref="K2" authorId="0" shapeId="0" xr:uid="{C1E74674-482F-4507-8BC2-73A1071EAAD0}">
      <text>
        <r>
          <rPr>
            <sz val="9"/>
            <color indexed="81"/>
            <rFont val="Tahoma"/>
            <family val="2"/>
          </rPr>
          <t>Pending effort hours after completion of day 2 work</t>
        </r>
      </text>
    </comment>
    <comment ref="L2" authorId="0" shapeId="0" xr:uid="{3B46A027-C997-413C-96B0-9D5710B8D295}">
      <text>
        <r>
          <rPr>
            <sz val="9"/>
            <color indexed="81"/>
            <rFont val="Tahoma"/>
            <family val="2"/>
          </rPr>
          <t>Pending effort hours after completion of day 3 work</t>
        </r>
      </text>
    </comment>
    <comment ref="M2" authorId="0" shapeId="0" xr:uid="{C32C8926-2BED-4A8F-AD3A-9F73BA1FC031}">
      <text>
        <r>
          <rPr>
            <sz val="9"/>
            <color indexed="81"/>
            <rFont val="Tahoma"/>
            <family val="2"/>
          </rPr>
          <t>Pending effort hours after completion of day 4 work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" authorId="0" shapeId="0" xr:uid="{5882663D-E9EC-4CBF-BDC3-F93CB695A056}">
      <text>
        <r>
          <rPr>
            <sz val="9"/>
            <color indexed="81"/>
            <rFont val="Tahoma"/>
            <family val="2"/>
          </rPr>
          <t xml:space="preserve">Pending effort hours after completion of day 5 work
</t>
        </r>
      </text>
    </comment>
    <comment ref="O2" authorId="0" shapeId="0" xr:uid="{AF4897A2-28F5-4FF6-8661-3BDE264F1334}">
      <text>
        <r>
          <rPr>
            <sz val="9"/>
            <color indexed="81"/>
            <rFont val="Tahoma"/>
            <family val="2"/>
          </rPr>
          <t xml:space="preserve">Pending effort hours after completion of day 6 work
</t>
        </r>
      </text>
    </comment>
    <comment ref="P2" authorId="0" shapeId="0" xr:uid="{7F13780D-CC47-4494-AEB6-BFF843B3E9C5}">
      <text>
        <r>
          <rPr>
            <sz val="9"/>
            <color indexed="81"/>
            <rFont val="Tahoma"/>
            <family val="2"/>
          </rPr>
          <t>Pending effort hours after completion of day 7 work</t>
        </r>
      </text>
    </comment>
    <comment ref="Q2" authorId="0" shapeId="0" xr:uid="{6EC29409-3667-48E2-8D37-FB88604FC785}">
      <text>
        <r>
          <rPr>
            <sz val="9"/>
            <color indexed="81"/>
            <rFont val="Tahoma"/>
            <family val="2"/>
          </rPr>
          <t xml:space="preserve">Pending effort hours after completion of day 8 work
</t>
        </r>
      </text>
    </comment>
    <comment ref="R2" authorId="0" shapeId="0" xr:uid="{966766E2-ECFF-4A2B-A875-5EF9B475F669}">
      <text>
        <r>
          <rPr>
            <sz val="9"/>
            <color indexed="81"/>
            <rFont val="Tahoma"/>
            <family val="2"/>
          </rPr>
          <t xml:space="preserve">Pending effort hours after completion of day 9 work
</t>
        </r>
      </text>
    </comment>
    <comment ref="S2" authorId="0" shapeId="0" xr:uid="{75BEF94F-FB47-4831-97C5-9BBE8C6E3CB0}">
      <text>
        <r>
          <rPr>
            <sz val="9"/>
            <color indexed="81"/>
            <rFont val="Tahoma"/>
            <family val="2"/>
          </rPr>
          <t xml:space="preserve">Pending effort hours after completion of day 10 work
</t>
        </r>
      </text>
    </comment>
    <comment ref="T2" authorId="0" shapeId="0" xr:uid="{C968AA00-509F-4A8E-819D-5DE67EF9774B}">
      <text>
        <r>
          <rPr>
            <sz val="9"/>
            <color indexed="81"/>
            <rFont val="Tahoma"/>
            <family val="2"/>
          </rPr>
          <t xml:space="preserve">Pending effort hours after completion of day 11 work
</t>
        </r>
      </text>
    </comment>
    <comment ref="U2" authorId="0" shapeId="0" xr:uid="{0649FA20-41A3-4892-A046-6C2E3EC4C094}">
      <text>
        <r>
          <rPr>
            <sz val="9"/>
            <color indexed="81"/>
            <rFont val="Tahoma"/>
            <family val="2"/>
          </rPr>
          <t xml:space="preserve">Pending effort hours after completion of day 12 work
</t>
        </r>
      </text>
    </comment>
    <comment ref="V2" authorId="0" shapeId="0" xr:uid="{79014FC1-A5A0-4D64-8050-E17D84FE6FEE}">
      <text>
        <r>
          <rPr>
            <sz val="9"/>
            <color indexed="81"/>
            <rFont val="Tahoma"/>
            <family val="2"/>
          </rPr>
          <t xml:space="preserve">Pending effort hours after completion of day 13 work
</t>
        </r>
      </text>
    </comment>
    <comment ref="W2" authorId="0" shapeId="0" xr:uid="{E8CB0DB3-A004-44D9-80E0-53298B1BF814}">
      <text>
        <r>
          <rPr>
            <sz val="9"/>
            <color indexed="81"/>
            <rFont val="Tahoma"/>
            <family val="2"/>
          </rPr>
          <t xml:space="preserve">Pending effort hours after completion of day 14 work
</t>
        </r>
      </text>
    </comment>
  </commentList>
</comments>
</file>

<file path=xl/sharedStrings.xml><?xml version="1.0" encoding="utf-8"?>
<sst xmlns="http://schemas.openxmlformats.org/spreadsheetml/2006/main" count="362" uniqueCount="146">
  <si>
    <t>Planned Sprint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</si>
  <si>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</si>
  <si>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</si>
  <si>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</si>
  <si>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</si>
  <si>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</si>
  <si>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</si>
  <si>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</si>
  <si>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Task ID</t>
  </si>
  <si>
    <t>Task Description</t>
  </si>
  <si>
    <t>Task Start Date</t>
  </si>
  <si>
    <t>Task Completion Date</t>
  </si>
  <si>
    <t>Team Member</t>
  </si>
  <si>
    <t>Activity</t>
  </si>
  <si>
    <t>Original Estimate Effort (In Hours)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</si>
  <si>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</si>
  <si>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</si>
  <si>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</si>
  <si>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</si>
  <si>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</si>
  <si>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</si>
  <si>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</si>
  <si>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</si>
  <si>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</si>
  <si>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</si>
  <si>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</si>
  <si>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</si>
  <si>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</si>
  <si>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</si>
  <si>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SPRINT  1  BACKLOG</t>
  </si>
  <si>
    <t xml:space="preserve">Sprint </t>
  </si>
  <si>
    <t>Impediments</t>
  </si>
  <si>
    <t>Action Taken</t>
  </si>
  <si>
    <t>Sprint #</t>
  </si>
  <si>
    <t>Sprint start date</t>
  </si>
  <si>
    <t>Sprint end date</t>
  </si>
  <si>
    <t xml:space="preserve">Team member name </t>
  </si>
  <si>
    <t>Start Doing</t>
  </si>
  <si>
    <t xml:space="preserve">Stop Doing </t>
  </si>
  <si>
    <t xml:space="preserve">Continue Doing </t>
  </si>
  <si>
    <t>Action taken</t>
  </si>
  <si>
    <t>S1</t>
  </si>
  <si>
    <t>US-001</t>
  </si>
  <si>
    <t>Model Research</t>
  </si>
  <si>
    <t>Must Have</t>
  </si>
  <si>
    <t>Debrupa Mukherjee</t>
  </si>
  <si>
    <t>Completed</t>
  </si>
  <si>
    <t>S2</t>
  </si>
  <si>
    <t>S3</t>
  </si>
  <si>
    <t>S4</t>
  </si>
  <si>
    <t>S5</t>
  </si>
  <si>
    <t>S7</t>
  </si>
  <si>
    <t>S8</t>
  </si>
  <si>
    <t>S9</t>
  </si>
  <si>
    <t>S10</t>
  </si>
  <si>
    <t>S11</t>
  </si>
  <si>
    <t>Planning- defining the project, deciding upon the scope of the project</t>
  </si>
  <si>
    <t>Research from AI tools and existing documents</t>
  </si>
  <si>
    <t>Google Colab</t>
  </si>
  <si>
    <t>S12</t>
  </si>
  <si>
    <t>Creating the Git Repository</t>
  </si>
  <si>
    <t>GitHub</t>
  </si>
  <si>
    <t>System architecture design</t>
  </si>
  <si>
    <t>Tech Stack and Data Source Selection</t>
  </si>
  <si>
    <t>Research from AI tools</t>
  </si>
  <si>
    <t>Python Task for Practice</t>
  </si>
  <si>
    <t>SQL Task for Practice</t>
  </si>
  <si>
    <t>Database Schema Design(soc_db collections setup)</t>
  </si>
  <si>
    <t>Engine 1-3 Development: Live Feed Ingestion (Malware, Phishing, DDoS)</t>
  </si>
  <si>
    <t>MongoDB Atlas &amp; APIs</t>
  </si>
  <si>
    <t>Engine 4 &amp; 5 Development: Enrichment (MITRE Tagging &amp; GeoIP)</t>
  </si>
  <si>
    <t>GeoLite2 DB &amp; MITRE Mapping</t>
  </si>
  <si>
    <t>System Integration: Concurrent Engine Testing &amp; Data Validation</t>
  </si>
  <si>
    <t>All Ingestion Engines</t>
  </si>
  <si>
    <t>Group</t>
  </si>
  <si>
    <t>Debrupa &amp; Sakshee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</si>
  <si>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</si>
  <si>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</si>
  <si>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</si>
  <si>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</si>
  <si>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</si>
  <si>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</si>
  <si>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</si>
  <si>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</si>
  <si>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</si>
  <si>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</si>
  <si>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Data Pre-processing &amp; Column Standardization</t>
  </si>
  <si>
    <t>Analytical Aggregation &amp; Grouping</t>
  </si>
  <si>
    <t>Interactive Visualization Development</t>
  </si>
  <si>
    <t>Sai Narendra &amp; Navya</t>
  </si>
  <si>
    <t>Pandas, Dataset from S10</t>
  </si>
  <si>
    <t>Aggregated Data</t>
  </si>
  <si>
    <t>Clean Data</t>
  </si>
  <si>
    <r>
      <rPr>
        <sz val="11"/>
        <color theme="1"/>
        <rFont val="Aptos Narrow"/>
        <family val="2"/>
        <scheme val="minor"/>
      </rPr>
      <t>Geospatial Intelligence</t>
    </r>
    <r>
      <rPr>
        <b/>
        <sz val="11"/>
        <color theme="1"/>
        <rFont val="Aptos Narrow"/>
        <family val="2"/>
        <scheme val="minor"/>
      </rPr>
      <t>:</t>
    </r>
    <r>
      <rPr>
        <sz val="11"/>
        <color theme="1"/>
        <rFont val="Aptos Narrow"/>
        <family val="2"/>
        <scheme val="minor"/>
      </rPr>
      <t xml:space="preserve"> Country-wise attack density mapping (Choropleth)</t>
    </r>
  </si>
  <si>
    <t>Hierarchical Structural Logic: Treemap development for System-to-Attack mapping</t>
  </si>
  <si>
    <t>Advanced Interaction: Sunburst Chart integration for parent-child threat drill-down</t>
  </si>
  <si>
    <r>
      <t xml:space="preserve">Plotly, Cleaned </t>
    </r>
    <r>
      <rPr>
        <sz val="10"/>
        <color theme="1"/>
        <rFont val="Arial Unicode MS"/>
      </rPr>
      <t>country</t>
    </r>
    <r>
      <rPr>
        <sz val="11"/>
        <color theme="1"/>
        <rFont val="Aptos Narrow"/>
        <family val="2"/>
        <scheme val="minor"/>
      </rPr>
      <t xml:space="preserve"> column</t>
    </r>
  </si>
  <si>
    <r>
      <t xml:space="preserve">Pandas Aggregation, </t>
    </r>
    <r>
      <rPr>
        <sz val="10"/>
        <color theme="1"/>
        <rFont val="Arial Unicode MS"/>
      </rPr>
      <t>Target_System</t>
    </r>
  </si>
  <si>
    <r>
      <t xml:space="preserve">S17 logic, Standardized </t>
    </r>
    <r>
      <rPr>
        <sz val="10"/>
        <color theme="1"/>
        <rFont val="Arial Unicode MS"/>
      </rPr>
      <t>attack_type</t>
    </r>
  </si>
  <si>
    <t>Akhila, Jidnyasa</t>
  </si>
  <si>
    <t>Others</t>
  </si>
  <si>
    <t>Research</t>
  </si>
  <si>
    <t>Prompt Engg</t>
  </si>
  <si>
    <t>Coding</t>
  </si>
  <si>
    <t>Dashboarding</t>
  </si>
  <si>
    <t>Sprint 1</t>
  </si>
  <si>
    <t>Sprint 2</t>
  </si>
  <si>
    <t>Sprint 3</t>
  </si>
  <si>
    <t>Sprint 4</t>
  </si>
  <si>
    <t>Lack of clear knowledge on the Python ans SQL task</t>
  </si>
  <si>
    <t>Lack of clarity regarding the project demo that was given</t>
  </si>
  <si>
    <t>Confusion regarding the created architecture would be fine</t>
  </si>
  <si>
    <t>Confusion regarding capturing live data and storing it in cloud for analysis</t>
  </si>
  <si>
    <t>Doubt about sources of capturing live data from network</t>
  </si>
  <si>
    <t>Agile template confusion</t>
  </si>
  <si>
    <t>Discussion with mentor and peers to get clarity</t>
  </si>
  <si>
    <t>Discussion with mentor to get clarity</t>
  </si>
  <si>
    <t>Automated data cleaning scripts</t>
  </si>
  <si>
    <t>Sakshee &amp; Debrupa</t>
  </si>
  <si>
    <t>Stuti &amp; Chetna</t>
  </si>
  <si>
    <t>Week</t>
  </si>
  <si>
    <t>Advanced hierarchical charting</t>
  </si>
  <si>
    <t>Static geographic lists</t>
  </si>
  <si>
    <t>Using Plotly for interactivity</t>
  </si>
  <si>
    <t>Generated interactive geospatial and Sunburst maps</t>
  </si>
  <si>
    <t>Concurrent engine processing</t>
  </si>
  <si>
    <t>Manual column renaming</t>
  </si>
  <si>
    <t>Using Pandas for aggregation</t>
  </si>
  <si>
    <t>Standardized dataset for dashboarding</t>
  </si>
  <si>
    <t>Automated engine health checks</t>
  </si>
  <si>
    <t>Manual data validation</t>
  </si>
  <si>
    <t>Established stable live ingestion layer</t>
  </si>
  <si>
    <t>Dash callbacks</t>
  </si>
  <si>
    <t>Static layouts</t>
  </si>
  <si>
    <t>Bootstrap styling</t>
  </si>
  <si>
    <t>Finalized responsive UI</t>
  </si>
  <si>
    <t>UI Architecture &amp; Component Layout</t>
  </si>
  <si>
    <t>Multi-Layered Filtering System</t>
  </si>
  <si>
    <t>Interactive Callback Logic</t>
  </si>
  <si>
    <t>Stuti, Chetna</t>
  </si>
  <si>
    <t>PPT</t>
  </si>
  <si>
    <t>Backend tasks performed till now</t>
  </si>
  <si>
    <t>Based on the interface created</t>
  </si>
  <si>
    <t>Sprint 5</t>
  </si>
  <si>
    <t>Discussion with mentor for upgradation of project</t>
  </si>
  <si>
    <t>Presentation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</si>
</sst>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09]d\-mmm\-yy;@"/>
  </numFmts>
  <fonts count="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8"/>
      <color theme="1"/>
      <name val="Arial"/>
      <family val="2"/>
    </font>
    <font>
      <sz val="9"/>
      <color indexed="81"/>
      <name val="Tahoma"/>
      <family val="2"/>
    </font>
    <font>
      <b/>
      <sz val="12"/>
      <color theme="1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8"/>
      <name val="Aptos Narrow"/>
      <family val="2"/>
      <scheme val="minor"/>
    </font>
    <font>
      <sz val="10"/>
      <color theme="1"/>
      <name val="Arial Unicode MS"/>
    </font>
  </fonts>
  <fills count="8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1" xfId="0" applyFont="1" applyFill="1" applyBorder="1" applyAlignment="1">
      <alignment horizontal="center" vertical="center" textRotation="90" wrapText="1"/>
    </xf>
    <xf numFmtId="0" fontId="2" fillId="2" borderId="2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1" fillId="0" borderId="0" xfId="0" applyFont="1"/>
    <xf numFmtId="0" fontId="0" fillId="0" borderId="1" xfId="0" applyBorder="1" applyAlignment="1">
      <alignment horizontal="left" vertical="center" wrapText="1"/>
    </xf>
    <xf numFmtId="16" fontId="0" fillId="0" borderId="0" xfId="0" applyNumberFormat="1"/>
    <xf numFmtId="0" fontId="0" fillId="0" borderId="0" xfId="0" applyAlignment="1">
      <alignment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49" fontId="2" fillId="3" borderId="3" xfId="0" applyNumberFormat="1" applyFont="1" applyFill="1" applyBorder="1" applyAlignment="1">
      <alignment horizontal="center" vertical="center" wrapText="1"/>
    </xf>
    <xf numFmtId="49" fontId="2" fillId="3" borderId="6" xfId="0" applyNumberFormat="1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164" fontId="2" fillId="3" borderId="2" xfId="0" applyNumberFormat="1" applyFont="1" applyFill="1" applyBorder="1" applyAlignment="1">
      <alignment horizontal="center" vertical="center" wrapText="1"/>
    </xf>
    <xf numFmtId="164" fontId="2" fillId="3" borderId="8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486F3-FA3C-4C0B-A677-4A8E56C19749}">
  <dimension ref="A1:H22"/>
  <sheetViews>
    <sheetView topLeftCell="A9" zoomScale="112" zoomScaleNormal="78" workbookViewId="0">
      <selection activeCell="F22" sqref="F22"/>
    </sheetView>
  </sheetViews>
  <sheetFormatPr defaultRowHeight="14.4"/>
  <cols>
    <col min="1" max="1" width="9.109375" customWidth="1"/>
    <col min="4" max="4" width="60.88671875" bestFit="1" customWidth="1"/>
    <col min="6" max="6" width="38.6640625" bestFit="1" customWidth="1"/>
    <col min="7" max="7" width="18.44140625" bestFit="1" customWidth="1"/>
  </cols>
  <sheetData>
    <row r="1" spans="1:8" ht="43.8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41</v>
      </c>
      <c r="B2" t="s">
        <v>41</v>
      </c>
      <c r="C2" t="s">
        <v>42</v>
      </c>
      <c r="D2" t="s">
        <v>60</v>
      </c>
      <c r="E2" t="s">
        <v>44</v>
      </c>
      <c r="F2" t="s">
        <v>61</v>
      </c>
      <c r="G2" t="s">
        <v>45</v>
      </c>
      <c r="H2" t="s">
        <v>46</v>
      </c>
    </row>
    <row r="3" spans="1:8">
      <c r="A3" t="s">
        <v>47</v>
      </c>
      <c r="B3" t="s">
        <v>47</v>
      </c>
      <c r="C3" t="s">
        <v>42</v>
      </c>
      <c r="D3" t="s">
        <v>43</v>
      </c>
      <c r="E3" t="s">
        <v>44</v>
      </c>
      <c r="F3" t="s">
        <v>57</v>
      </c>
      <c r="G3" t="s">
        <v>45</v>
      </c>
      <c r="H3" t="s">
        <v>46</v>
      </c>
    </row>
    <row r="4" spans="1:8">
      <c r="A4" t="s">
        <v>48</v>
      </c>
      <c r="B4" t="s">
        <v>48</v>
      </c>
      <c r="C4" t="s">
        <v>42</v>
      </c>
      <c r="D4" t="s">
        <v>65</v>
      </c>
      <c r="E4" t="s">
        <v>44</v>
      </c>
      <c r="F4" t="s">
        <v>58</v>
      </c>
      <c r="G4" t="s">
        <v>45</v>
      </c>
      <c r="H4" t="s">
        <v>46</v>
      </c>
    </row>
    <row r="5" spans="1:8">
      <c r="A5" t="s">
        <v>49</v>
      </c>
      <c r="B5" t="s">
        <v>49</v>
      </c>
      <c r="C5" t="s">
        <v>42</v>
      </c>
      <c r="D5" t="s">
        <v>66</v>
      </c>
      <c r="E5" t="s">
        <v>44</v>
      </c>
      <c r="F5" t="s">
        <v>58</v>
      </c>
      <c r="G5" t="s">
        <v>45</v>
      </c>
      <c r="H5" t="s">
        <v>46</v>
      </c>
    </row>
    <row r="6" spans="1:8">
      <c r="A6" t="s">
        <v>50</v>
      </c>
      <c r="B6" t="s">
        <v>50</v>
      </c>
      <c r="C6" t="s">
        <v>42</v>
      </c>
      <c r="D6" t="s">
        <v>56</v>
      </c>
      <c r="E6" t="s">
        <v>44</v>
      </c>
      <c r="F6" t="s">
        <v>64</v>
      </c>
      <c r="G6" t="s">
        <v>74</v>
      </c>
      <c r="H6" t="s">
        <v>46</v>
      </c>
    </row>
    <row r="7" spans="1:8">
      <c r="A7" t="s">
        <v>51</v>
      </c>
      <c r="B7" t="s">
        <v>51</v>
      </c>
      <c r="C7" t="s">
        <v>42</v>
      </c>
      <c r="D7" t="s">
        <v>63</v>
      </c>
      <c r="E7" t="s">
        <v>44</v>
      </c>
      <c r="F7" t="s">
        <v>64</v>
      </c>
      <c r="G7" t="s">
        <v>74</v>
      </c>
      <c r="H7" t="s">
        <v>46</v>
      </c>
    </row>
    <row r="8" spans="1:8">
      <c r="A8" t="s">
        <v>52</v>
      </c>
      <c r="B8" t="s">
        <v>52</v>
      </c>
      <c r="C8" t="s">
        <v>42</v>
      </c>
      <c r="D8" t="s">
        <v>62</v>
      </c>
      <c r="E8" t="s">
        <v>44</v>
      </c>
      <c r="F8" t="s">
        <v>64</v>
      </c>
      <c r="G8" t="s">
        <v>74</v>
      </c>
      <c r="H8" t="s">
        <v>46</v>
      </c>
    </row>
    <row r="9" spans="1:8">
      <c r="A9" t="s">
        <v>53</v>
      </c>
      <c r="B9" t="s">
        <v>53</v>
      </c>
      <c r="C9" t="s">
        <v>42</v>
      </c>
      <c r="D9" t="s">
        <v>67</v>
      </c>
      <c r="E9" t="s">
        <v>44</v>
      </c>
      <c r="F9" t="s">
        <v>64</v>
      </c>
      <c r="G9" t="s">
        <v>75</v>
      </c>
      <c r="H9" t="s">
        <v>46</v>
      </c>
    </row>
    <row r="10" spans="1:8">
      <c r="A10" t="s">
        <v>54</v>
      </c>
      <c r="B10" t="s">
        <v>54</v>
      </c>
      <c r="C10" t="s">
        <v>42</v>
      </c>
      <c r="D10" t="s">
        <v>68</v>
      </c>
      <c r="E10" t="s">
        <v>44</v>
      </c>
      <c r="F10" t="s">
        <v>69</v>
      </c>
      <c r="G10" t="s">
        <v>75</v>
      </c>
      <c r="H10" t="s">
        <v>46</v>
      </c>
    </row>
    <row r="11" spans="1:8">
      <c r="A11" t="s">
        <v>55</v>
      </c>
      <c r="B11" t="s">
        <v>55</v>
      </c>
      <c r="C11" t="s">
        <v>42</v>
      </c>
      <c r="D11" t="s">
        <v>70</v>
      </c>
      <c r="E11" t="s">
        <v>44</v>
      </c>
      <c r="F11" t="s">
        <v>71</v>
      </c>
      <c r="G11" t="s">
        <v>75</v>
      </c>
      <c r="H11" t="s">
        <v>46</v>
      </c>
    </row>
    <row r="12" spans="1:8">
      <c r="A12" t="s">
        <v>59</v>
      </c>
      <c r="B12" t="s">
        <v>59</v>
      </c>
      <c r="C12" t="s">
        <v>42</v>
      </c>
      <c r="D12" t="s">
        <v>72</v>
      </c>
      <c r="E12" t="s">
        <v>44</v>
      </c>
      <c r="F12" t="s">
        <v>73</v>
      </c>
      <c r="G12" t="s">
        <v>75</v>
      </c>
      <c r="H12" t="s">
        <v>46</v>
      </c>
    </row>
    <row r="13" spans="1:8">
      <c r="A13" t="s">
        <v>76</v>
      </c>
      <c r="B13" t="s">
        <v>76</v>
      </c>
      <c r="C13" t="s">
        <v>42</v>
      </c>
      <c r="D13" t="s">
        <v>86</v>
      </c>
      <c r="E13" t="s">
        <v>44</v>
      </c>
      <c r="F13" t="s">
        <v>90</v>
      </c>
      <c r="G13" t="s">
        <v>89</v>
      </c>
      <c r="H13" t="s">
        <v>46</v>
      </c>
    </row>
    <row r="14" spans="1:8">
      <c r="A14" t="s">
        <v>77</v>
      </c>
      <c r="B14" t="s">
        <v>77</v>
      </c>
      <c r="C14" t="s">
        <v>42</v>
      </c>
      <c r="D14" t="s">
        <v>87</v>
      </c>
      <c r="E14" t="s">
        <v>44</v>
      </c>
      <c r="F14" t="s">
        <v>92</v>
      </c>
      <c r="G14" t="s">
        <v>89</v>
      </c>
      <c r="H14" t="s">
        <v>46</v>
      </c>
    </row>
    <row r="15" spans="1:8">
      <c r="A15" t="s">
        <v>78</v>
      </c>
      <c r="B15" t="s">
        <v>78</v>
      </c>
      <c r="C15" t="s">
        <v>42</v>
      </c>
      <c r="D15" t="s">
        <v>88</v>
      </c>
      <c r="E15" t="s">
        <v>44</v>
      </c>
      <c r="F15" t="s">
        <v>91</v>
      </c>
      <c r="G15" t="s">
        <v>89</v>
      </c>
      <c r="H15" t="s">
        <v>46</v>
      </c>
    </row>
    <row r="16" spans="1:8">
      <c r="A16" t="s">
        <v>79</v>
      </c>
      <c r="B16" t="s">
        <v>79</v>
      </c>
      <c r="C16" t="s">
        <v>42</v>
      </c>
      <c r="D16" s="8" t="s">
        <v>93</v>
      </c>
      <c r="E16" t="s">
        <v>44</v>
      </c>
      <c r="F16" t="s">
        <v>96</v>
      </c>
      <c r="G16" t="s">
        <v>99</v>
      </c>
      <c r="H16" t="s">
        <v>46</v>
      </c>
    </row>
    <row r="17" spans="1:8">
      <c r="A17" t="s">
        <v>80</v>
      </c>
      <c r="B17" t="s">
        <v>80</v>
      </c>
      <c r="C17" t="s">
        <v>42</v>
      </c>
      <c r="D17" t="s">
        <v>94</v>
      </c>
      <c r="E17" t="s">
        <v>44</v>
      </c>
      <c r="F17" t="s">
        <v>97</v>
      </c>
      <c r="G17" t="s">
        <v>99</v>
      </c>
      <c r="H17" t="s">
        <v>46</v>
      </c>
    </row>
    <row r="18" spans="1:8">
      <c r="A18" t="s">
        <v>81</v>
      </c>
      <c r="B18" t="s">
        <v>81</v>
      </c>
      <c r="C18" t="s">
        <v>42</v>
      </c>
      <c r="D18" t="s">
        <v>95</v>
      </c>
      <c r="E18" t="s">
        <v>44</v>
      </c>
      <c r="F18" t="s">
        <v>98</v>
      </c>
      <c r="G18" t="s">
        <v>99</v>
      </c>
      <c r="H18" t="s">
        <v>46</v>
      </c>
    </row>
    <row r="19" spans="1:8">
      <c r="A19" t="s">
        <v>82</v>
      </c>
      <c r="B19" t="s">
        <v>82</v>
      </c>
      <c r="C19" t="s">
        <v>42</v>
      </c>
      <c r="D19" t="s">
        <v>136</v>
      </c>
      <c r="E19" t="s">
        <v>44</v>
      </c>
      <c r="F19" t="s">
        <v>141</v>
      </c>
      <c r="G19" t="s">
        <v>139</v>
      </c>
      <c r="H19" t="s">
        <v>46</v>
      </c>
    </row>
    <row r="20" spans="1:8">
      <c r="A20" t="s">
        <v>83</v>
      </c>
      <c r="B20" t="s">
        <v>83</v>
      </c>
      <c r="C20" t="s">
        <v>42</v>
      </c>
      <c r="D20" t="s">
        <v>137</v>
      </c>
      <c r="E20" t="s">
        <v>44</v>
      </c>
      <c r="F20" t="s">
        <v>141</v>
      </c>
      <c r="G20" t="s">
        <v>139</v>
      </c>
      <c r="H20" t="s">
        <v>46</v>
      </c>
    </row>
    <row r="21" spans="1:8">
      <c r="A21" t="s">
        <v>84</v>
      </c>
      <c r="B21" t="s">
        <v>84</v>
      </c>
      <c r="C21" t="s">
        <v>42</v>
      </c>
      <c r="D21" t="s">
        <v>138</v>
      </c>
      <c r="E21" t="s">
        <v>44</v>
      </c>
      <c r="F21" t="s">
        <v>141</v>
      </c>
      <c r="G21" t="s">
        <v>139</v>
      </c>
      <c r="H21" t="s">
        <v>46</v>
      </c>
    </row>
    <row r="22" spans="1:8">
      <c r="A22" t="s">
        <v>85</v>
      </c>
      <c r="B22" t="s">
        <v>85</v>
      </c>
      <c r="C22" t="s">
        <v>42</v>
      </c>
      <c r="D22" t="s">
        <v>140</v>
      </c>
      <c r="E22" t="s">
        <v>44</v>
      </c>
      <c r="F22" t="s">
        <v>142</v>
      </c>
      <c r="G22" t="s">
        <v>74</v>
      </c>
      <c r="H22" t="s">
        <v>46</v>
      </c>
    </row>
  </sheetData>
  <phoneticPr fontId="7" type="noConversion"/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A7124-DC67-4D53-977B-250F831AC681}">
  <dimension ref="A1:W24"/>
  <sheetViews>
    <sheetView topLeftCell="A4" workbookViewId="0">
      <selection activeCell="F21" sqref="F21:F24"/>
    </sheetView>
  </sheetViews>
  <sheetFormatPr defaultRowHeight="14.4"/>
  <cols>
    <col min="3" max="3" width="67.88671875" bestFit="1" customWidth="1"/>
    <col min="4" max="4" width="11.44140625" bestFit="1" customWidth="1"/>
    <col min="6" max="6" width="18.44140625" bestFit="1" customWidth="1"/>
    <col min="7" max="7" width="12.109375" bestFit="1" customWidth="1"/>
    <col min="8" max="8" width="9.77734375" bestFit="1" customWidth="1"/>
  </cols>
  <sheetData>
    <row r="1" spans="1:23" ht="40.799999999999997">
      <c r="A1" s="15" t="s">
        <v>2</v>
      </c>
      <c r="B1" s="17" t="s">
        <v>8</v>
      </c>
      <c r="C1" s="12" t="s">
        <v>9</v>
      </c>
      <c r="D1" s="12" t="s">
        <v>10</v>
      </c>
      <c r="E1" s="19" t="s">
        <v>11</v>
      </c>
      <c r="F1" s="12" t="s">
        <v>12</v>
      </c>
      <c r="G1" s="12" t="s">
        <v>13</v>
      </c>
      <c r="H1" s="12" t="s">
        <v>7</v>
      </c>
      <c r="I1" s="3" t="s">
        <v>14</v>
      </c>
      <c r="J1" s="4" t="s">
        <v>15</v>
      </c>
      <c r="K1" s="4" t="s">
        <v>16</v>
      </c>
      <c r="L1" s="4" t="s">
        <v>17</v>
      </c>
      <c r="M1" s="4" t="s">
        <v>18</v>
      </c>
      <c r="N1" s="4" t="s">
        <v>19</v>
      </c>
      <c r="O1" s="4" t="s">
        <v>20</v>
      </c>
      <c r="P1" s="4" t="s">
        <v>21</v>
      </c>
      <c r="Q1" s="4" t="s">
        <v>22</v>
      </c>
      <c r="R1" s="4" t="s">
        <v>23</v>
      </c>
      <c r="S1" s="4" t="s">
        <v>24</v>
      </c>
      <c r="T1" s="4" t="s">
        <v>25</v>
      </c>
      <c r="U1" s="4" t="s">
        <v>26</v>
      </c>
      <c r="V1" s="4" t="s">
        <v>27</v>
      </c>
      <c r="W1" s="4" t="s">
        <v>28</v>
      </c>
    </row>
    <row r="2" spans="1:23">
      <c r="A2" s="16"/>
      <c r="B2" s="18"/>
      <c r="C2" s="13"/>
      <c r="D2" s="13"/>
      <c r="E2" s="20"/>
      <c r="F2" s="13"/>
      <c r="G2" s="13"/>
      <c r="H2" s="13"/>
      <c r="I2" s="5">
        <f t="shared" ref="I2:W2" si="0">SUM(I4:I780)</f>
        <v>0</v>
      </c>
      <c r="J2" s="5">
        <f t="shared" si="0"/>
        <v>0</v>
      </c>
      <c r="K2" s="5">
        <f t="shared" si="0"/>
        <v>0</v>
      </c>
      <c r="L2" s="5">
        <f t="shared" si="0"/>
        <v>0</v>
      </c>
      <c r="M2" s="5">
        <f t="shared" si="0"/>
        <v>0</v>
      </c>
      <c r="N2" s="5">
        <f t="shared" si="0"/>
        <v>0</v>
      </c>
      <c r="O2" s="5">
        <f t="shared" si="0"/>
        <v>0</v>
      </c>
      <c r="P2" s="5">
        <f t="shared" si="0"/>
        <v>0</v>
      </c>
      <c r="Q2" s="5">
        <f t="shared" si="0"/>
        <v>0</v>
      </c>
      <c r="R2" s="5">
        <f t="shared" si="0"/>
        <v>0</v>
      </c>
      <c r="S2" s="5">
        <f t="shared" si="0"/>
        <v>0</v>
      </c>
      <c r="T2" s="5">
        <f t="shared" si="0"/>
        <v>0</v>
      </c>
      <c r="U2" s="5">
        <f t="shared" si="0"/>
        <v>0</v>
      </c>
      <c r="V2" s="5">
        <f t="shared" si="0"/>
        <v>0</v>
      </c>
      <c r="W2" s="5">
        <f t="shared" si="0"/>
        <v>0</v>
      </c>
    </row>
    <row r="3" spans="1:23" ht="15.6">
      <c r="A3" s="14" t="s">
        <v>29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</row>
    <row r="4" spans="1:23">
      <c r="A4" t="s">
        <v>42</v>
      </c>
      <c r="B4">
        <v>1</v>
      </c>
      <c r="C4" t="s">
        <v>60</v>
      </c>
      <c r="F4" t="s">
        <v>45</v>
      </c>
      <c r="G4" t="s">
        <v>100</v>
      </c>
      <c r="H4" t="s">
        <v>46</v>
      </c>
    </row>
    <row r="5" spans="1:23">
      <c r="A5" t="s">
        <v>42</v>
      </c>
      <c r="B5">
        <v>2</v>
      </c>
      <c r="C5" t="s">
        <v>43</v>
      </c>
      <c r="F5" t="s">
        <v>45</v>
      </c>
      <c r="G5" t="s">
        <v>101</v>
      </c>
      <c r="H5" t="s">
        <v>46</v>
      </c>
    </row>
    <row r="6" spans="1:23">
      <c r="A6" t="s">
        <v>42</v>
      </c>
      <c r="B6">
        <v>3</v>
      </c>
      <c r="C6" t="s">
        <v>65</v>
      </c>
      <c r="F6" t="s">
        <v>45</v>
      </c>
      <c r="G6" t="s">
        <v>102</v>
      </c>
      <c r="H6" t="s">
        <v>46</v>
      </c>
    </row>
    <row r="7" spans="1:23">
      <c r="A7" t="s">
        <v>42</v>
      </c>
      <c r="B7">
        <v>4</v>
      </c>
      <c r="C7" t="s">
        <v>66</v>
      </c>
      <c r="F7" t="s">
        <v>45</v>
      </c>
      <c r="G7" t="s">
        <v>102</v>
      </c>
      <c r="H7" t="s">
        <v>46</v>
      </c>
    </row>
    <row r="8" spans="1:23">
      <c r="A8" t="s">
        <v>42</v>
      </c>
      <c r="B8">
        <v>5</v>
      </c>
      <c r="C8" t="s">
        <v>56</v>
      </c>
      <c r="F8" t="s">
        <v>74</v>
      </c>
      <c r="G8" t="s">
        <v>100</v>
      </c>
      <c r="H8" t="s">
        <v>46</v>
      </c>
    </row>
    <row r="9" spans="1:23">
      <c r="A9" t="s">
        <v>42</v>
      </c>
      <c r="B9">
        <v>6</v>
      </c>
      <c r="C9" t="s">
        <v>63</v>
      </c>
      <c r="F9" t="s">
        <v>74</v>
      </c>
      <c r="G9" t="s">
        <v>100</v>
      </c>
      <c r="H9" t="s">
        <v>46</v>
      </c>
    </row>
    <row r="10" spans="1:23">
      <c r="A10" t="s">
        <v>42</v>
      </c>
      <c r="B10">
        <v>7</v>
      </c>
      <c r="C10" t="s">
        <v>62</v>
      </c>
      <c r="F10" t="s">
        <v>74</v>
      </c>
      <c r="G10" t="s">
        <v>100</v>
      </c>
      <c r="H10" t="s">
        <v>46</v>
      </c>
    </row>
    <row r="11" spans="1:23">
      <c r="A11" t="s">
        <v>42</v>
      </c>
      <c r="B11">
        <v>8</v>
      </c>
      <c r="C11" t="s">
        <v>67</v>
      </c>
      <c r="F11" t="s">
        <v>75</v>
      </c>
      <c r="G11" t="s">
        <v>100</v>
      </c>
      <c r="H11" t="s">
        <v>46</v>
      </c>
    </row>
    <row r="12" spans="1:23">
      <c r="A12" t="s">
        <v>42</v>
      </c>
      <c r="B12">
        <v>9</v>
      </c>
      <c r="C12" t="s">
        <v>68</v>
      </c>
      <c r="F12" t="s">
        <v>75</v>
      </c>
      <c r="G12" t="s">
        <v>103</v>
      </c>
      <c r="H12" t="s">
        <v>46</v>
      </c>
    </row>
    <row r="13" spans="1:23">
      <c r="A13" t="s">
        <v>42</v>
      </c>
      <c r="B13">
        <v>10</v>
      </c>
      <c r="C13" t="s">
        <v>70</v>
      </c>
      <c r="F13" t="s">
        <v>75</v>
      </c>
      <c r="G13" t="s">
        <v>103</v>
      </c>
      <c r="H13" t="s">
        <v>46</v>
      </c>
    </row>
    <row r="14" spans="1:23">
      <c r="A14" t="s">
        <v>42</v>
      </c>
      <c r="B14">
        <v>11</v>
      </c>
      <c r="C14" t="s">
        <v>72</v>
      </c>
      <c r="F14" t="s">
        <v>75</v>
      </c>
      <c r="G14" t="s">
        <v>103</v>
      </c>
      <c r="H14" t="s">
        <v>46</v>
      </c>
    </row>
    <row r="15" spans="1:23">
      <c r="A15" t="s">
        <v>42</v>
      </c>
      <c r="B15">
        <v>12</v>
      </c>
      <c r="C15" t="s">
        <v>86</v>
      </c>
      <c r="F15" t="s">
        <v>89</v>
      </c>
      <c r="G15" t="s">
        <v>103</v>
      </c>
      <c r="H15" t="s">
        <v>46</v>
      </c>
    </row>
    <row r="16" spans="1:23">
      <c r="A16" t="s">
        <v>42</v>
      </c>
      <c r="B16">
        <v>13</v>
      </c>
      <c r="C16" t="s">
        <v>87</v>
      </c>
      <c r="F16" t="s">
        <v>89</v>
      </c>
      <c r="G16" t="s">
        <v>103</v>
      </c>
      <c r="H16" t="s">
        <v>46</v>
      </c>
    </row>
    <row r="17" spans="1:8">
      <c r="A17" t="s">
        <v>42</v>
      </c>
      <c r="B17">
        <v>14</v>
      </c>
      <c r="C17" t="s">
        <v>88</v>
      </c>
      <c r="F17" t="s">
        <v>89</v>
      </c>
      <c r="G17" t="s">
        <v>104</v>
      </c>
      <c r="H17" t="s">
        <v>46</v>
      </c>
    </row>
    <row r="18" spans="1:8">
      <c r="A18" t="s">
        <v>42</v>
      </c>
      <c r="B18">
        <v>15</v>
      </c>
      <c r="C18" s="8" t="s">
        <v>93</v>
      </c>
      <c r="F18" t="s">
        <v>99</v>
      </c>
      <c r="G18" t="s">
        <v>103</v>
      </c>
      <c r="H18" t="s">
        <v>46</v>
      </c>
    </row>
    <row r="19" spans="1:8">
      <c r="A19" t="s">
        <v>42</v>
      </c>
      <c r="B19">
        <v>16</v>
      </c>
      <c r="C19" t="s">
        <v>94</v>
      </c>
      <c r="F19" t="s">
        <v>99</v>
      </c>
      <c r="G19" t="s">
        <v>103</v>
      </c>
      <c r="H19" t="s">
        <v>46</v>
      </c>
    </row>
    <row r="20" spans="1:8">
      <c r="A20" t="s">
        <v>42</v>
      </c>
      <c r="B20">
        <v>17</v>
      </c>
      <c r="C20" t="s">
        <v>95</v>
      </c>
      <c r="F20" t="s">
        <v>99</v>
      </c>
      <c r="G20" t="s">
        <v>103</v>
      </c>
      <c r="H20" t="s">
        <v>46</v>
      </c>
    </row>
    <row r="21" spans="1:8">
      <c r="A21" t="s">
        <v>42</v>
      </c>
      <c r="B21">
        <v>18</v>
      </c>
      <c r="C21" t="s">
        <v>136</v>
      </c>
      <c r="F21" t="s">
        <v>139</v>
      </c>
      <c r="G21" t="s">
        <v>103</v>
      </c>
      <c r="H21" t="s">
        <v>46</v>
      </c>
    </row>
    <row r="22" spans="1:8">
      <c r="A22" t="s">
        <v>42</v>
      </c>
      <c r="B22">
        <v>19</v>
      </c>
      <c r="C22" t="s">
        <v>137</v>
      </c>
      <c r="F22" t="s">
        <v>139</v>
      </c>
      <c r="G22" t="s">
        <v>103</v>
      </c>
      <c r="H22" t="s">
        <v>46</v>
      </c>
    </row>
    <row r="23" spans="1:8">
      <c r="A23" t="s">
        <v>42</v>
      </c>
      <c r="B23">
        <v>20</v>
      </c>
      <c r="C23" t="s">
        <v>138</v>
      </c>
      <c r="F23" t="s">
        <v>139</v>
      </c>
      <c r="G23" t="s">
        <v>103</v>
      </c>
      <c r="H23" t="s">
        <v>46</v>
      </c>
    </row>
    <row r="24" spans="1:8">
      <c r="A24" t="s">
        <v>42</v>
      </c>
      <c r="B24">
        <v>21</v>
      </c>
      <c r="C24" t="s">
        <v>140</v>
      </c>
      <c r="F24" t="s">
        <v>74</v>
      </c>
      <c r="G24" t="s">
        <v>140</v>
      </c>
      <c r="H24" t="s">
        <v>46</v>
      </c>
    </row>
  </sheetData>
  <mergeCells count="9">
    <mergeCell ref="G1:G2"/>
    <mergeCell ref="H1:H2"/>
    <mergeCell ref="A3:W3"/>
    <mergeCell ref="A1:A2"/>
    <mergeCell ref="B1:B2"/>
    <mergeCell ref="C1:C2"/>
    <mergeCell ref="D1:D2"/>
    <mergeCell ref="E1:E2"/>
    <mergeCell ref="F1:F2"/>
  </mergeCells>
  <phoneticPr fontId="7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EF11B-A581-44C3-B57C-EEF1C6A79CD1}">
  <dimension ref="A1:D8"/>
  <sheetViews>
    <sheetView workbookViewId="0">
      <selection activeCell="C8" sqref="C8"/>
    </sheetView>
  </sheetViews>
  <sheetFormatPr defaultRowHeight="14.4"/>
  <cols>
    <col min="1" max="1" width="15.5546875" customWidth="1"/>
    <col min="2" max="2" width="14.44140625" customWidth="1"/>
    <col min="3" max="3" width="59.44140625" bestFit="1" customWidth="1"/>
    <col min="4" max="4" width="38.44140625" bestFit="1" customWidth="1"/>
  </cols>
  <sheetData>
    <row r="1" spans="1:4">
      <c r="A1" s="6" t="s">
        <v>30</v>
      </c>
      <c r="B1" s="6" t="s">
        <v>120</v>
      </c>
      <c r="C1" s="6" t="s">
        <v>31</v>
      </c>
      <c r="D1" s="6" t="s">
        <v>32</v>
      </c>
    </row>
    <row r="2" spans="1:4">
      <c r="A2" s="9" t="s">
        <v>105</v>
      </c>
      <c r="B2">
        <v>1</v>
      </c>
      <c r="C2" t="s">
        <v>109</v>
      </c>
      <c r="D2" t="s">
        <v>115</v>
      </c>
    </row>
    <row r="3" spans="1:4">
      <c r="A3" s="9" t="s">
        <v>106</v>
      </c>
      <c r="B3">
        <v>2</v>
      </c>
      <c r="C3" t="s">
        <v>110</v>
      </c>
      <c r="D3" t="s">
        <v>116</v>
      </c>
    </row>
    <row r="4" spans="1:4">
      <c r="A4" s="9" t="s">
        <v>106</v>
      </c>
      <c r="B4">
        <v>2</v>
      </c>
      <c r="C4" t="s">
        <v>113</v>
      </c>
      <c r="D4" t="s">
        <v>115</v>
      </c>
    </row>
    <row r="5" spans="1:4">
      <c r="A5" s="9" t="s">
        <v>106</v>
      </c>
      <c r="B5">
        <v>2</v>
      </c>
      <c r="C5" t="s">
        <v>111</v>
      </c>
      <c r="D5" t="s">
        <v>116</v>
      </c>
    </row>
    <row r="6" spans="1:4">
      <c r="A6" s="9" t="s">
        <v>107</v>
      </c>
      <c r="B6">
        <v>4</v>
      </c>
      <c r="C6" t="s">
        <v>112</v>
      </c>
      <c r="D6" t="s">
        <v>116</v>
      </c>
    </row>
    <row r="7" spans="1:4">
      <c r="A7" s="9" t="s">
        <v>108</v>
      </c>
      <c r="B7">
        <v>6</v>
      </c>
      <c r="C7" t="s">
        <v>114</v>
      </c>
      <c r="D7" t="s">
        <v>116</v>
      </c>
    </row>
    <row r="8" spans="1:4">
      <c r="A8" s="9" t="s">
        <v>143</v>
      </c>
      <c r="B8">
        <v>7</v>
      </c>
      <c r="C8" t="s">
        <v>145</v>
      </c>
      <c r="D8" t="s">
        <v>144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B83BA-58D3-499F-8611-5189FEEE0BBA}">
  <dimension ref="A1:I5"/>
  <sheetViews>
    <sheetView tabSelected="1" topLeftCell="A2" workbookViewId="0">
      <selection activeCell="G22" sqref="G22"/>
    </sheetView>
  </sheetViews>
  <sheetFormatPr defaultRowHeight="14.4"/>
  <cols>
    <col min="5" max="5" width="18.44140625" bestFit="1" customWidth="1"/>
    <col min="6" max="6" width="27" bestFit="1" customWidth="1"/>
    <col min="7" max="7" width="21.44140625" bestFit="1" customWidth="1"/>
    <col min="8" max="8" width="25.21875" bestFit="1" customWidth="1"/>
    <col min="9" max="9" width="43.33203125" bestFit="1" customWidth="1"/>
  </cols>
  <sheetData>
    <row r="1" spans="1:9" ht="39.6">
      <c r="A1" s="7"/>
      <c r="B1" s="7" t="s">
        <v>33</v>
      </c>
      <c r="C1" s="7" t="s">
        <v>34</v>
      </c>
      <c r="D1" s="7" t="s">
        <v>35</v>
      </c>
      <c r="E1" s="7" t="s">
        <v>36</v>
      </c>
      <c r="F1" s="7" t="s">
        <v>37</v>
      </c>
      <c r="G1" s="7" t="s">
        <v>38</v>
      </c>
      <c r="H1" s="7" t="s">
        <v>39</v>
      </c>
      <c r="I1" s="7" t="s">
        <v>40</v>
      </c>
    </row>
    <row r="2" spans="1:9">
      <c r="B2" t="s">
        <v>105</v>
      </c>
      <c r="C2" s="10">
        <v>46030</v>
      </c>
      <c r="D2" s="10">
        <v>46038</v>
      </c>
      <c r="E2" t="s">
        <v>118</v>
      </c>
      <c r="F2" t="s">
        <v>129</v>
      </c>
      <c r="G2" t="s">
        <v>130</v>
      </c>
      <c r="H2" t="s">
        <v>125</v>
      </c>
      <c r="I2" t="s">
        <v>131</v>
      </c>
    </row>
    <row r="3" spans="1:9">
      <c r="B3" t="s">
        <v>106</v>
      </c>
      <c r="C3" s="10">
        <v>46041</v>
      </c>
      <c r="D3" s="10">
        <v>46045</v>
      </c>
      <c r="E3" t="s">
        <v>89</v>
      </c>
      <c r="F3" t="s">
        <v>117</v>
      </c>
      <c r="G3" t="s">
        <v>126</v>
      </c>
      <c r="H3" t="s">
        <v>127</v>
      </c>
      <c r="I3" t="s">
        <v>128</v>
      </c>
    </row>
    <row r="4" spans="1:9">
      <c r="B4" t="s">
        <v>107</v>
      </c>
      <c r="C4" s="10">
        <v>46049</v>
      </c>
      <c r="D4" s="10">
        <v>46052</v>
      </c>
      <c r="E4" t="s">
        <v>99</v>
      </c>
      <c r="F4" t="s">
        <v>121</v>
      </c>
      <c r="G4" t="s">
        <v>122</v>
      </c>
      <c r="H4" t="s">
        <v>123</v>
      </c>
      <c r="I4" t="s">
        <v>124</v>
      </c>
    </row>
    <row r="5" spans="1:9">
      <c r="B5" t="s">
        <v>108</v>
      </c>
      <c r="C5" s="10">
        <v>46055</v>
      </c>
      <c r="D5" s="10">
        <v>46068</v>
      </c>
      <c r="E5" t="s">
        <v>119</v>
      </c>
      <c r="F5" s="11" t="s">
        <v>132</v>
      </c>
      <c r="G5" s="11" t="s">
        <v>133</v>
      </c>
      <c r="H5" s="11" t="s">
        <v>134</v>
      </c>
      <c r="I5" s="11" t="s">
        <v>135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 Backlog</vt:lpstr>
      <vt:lpstr>Sprint Backlogs</vt:lpstr>
      <vt:lpstr>Stand up Meeting</vt:lpstr>
      <vt:lpstr>Retrospection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Debrupa Mukherjee</dc:creator>
  <cp:lastModifiedBy>Debrupa Mukherjee</cp:lastModifiedBy>
  <dcterms:created xsi:type="dcterms:W3CDTF">2026-02-03T14:26:34Z</dcterms:created>
  <dcterms:modified xsi:type="dcterms:W3CDTF">2026-02-28T17:51:15Z</dcterms:modified>
</cp:coreProperties>
</file>